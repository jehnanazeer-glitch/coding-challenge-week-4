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Entri App\Assignmnet\"/>
    </mc:Choice>
  </mc:AlternateContent>
  <xr:revisionPtr revIDLastSave="0" documentId="13_ncr:1_{BA504719-FD93-444A-83FD-0570E4181050}" xr6:coauthVersionLast="47" xr6:coauthVersionMax="47" xr10:uidLastSave="{00000000-0000-0000-0000-000000000000}"/>
  <bookViews>
    <workbookView xWindow="-108" yWindow="-108" windowWidth="23256" windowHeight="12456" activeTab="5" xr2:uid="{F8676E6D-7E53-4921-A5D8-C405E692C8F7}"/>
  </bookViews>
  <sheets>
    <sheet name="Pivot 1" sheetId="4" r:id="rId1"/>
    <sheet name="Pivot 2" sheetId="7" r:id="rId2"/>
    <sheet name="pivot 3" sheetId="9" r:id="rId3"/>
    <sheet name="Pivot 4" sheetId="10" r:id="rId4"/>
    <sheet name="Pivot 5" sheetId="11" r:id="rId5"/>
    <sheet name="Sales" sheetId="1" r:id="rId6"/>
    <sheet name="Products" sheetId="2" r:id="rId7"/>
    <sheet name="Regions" sheetId="3" r:id="rId8"/>
  </sheets>
  <definedNames>
    <definedName name="Slicer_category">#N/A</definedName>
    <definedName name="Slicer_Month">#N/A</definedName>
    <definedName name="Slicer_Product_Name">#N/A</definedName>
    <definedName name="Slicer_Region_Na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1" i="1" l="1"/>
  <c r="L11" i="1"/>
  <c r="K11" i="1"/>
  <c r="J11" i="1"/>
  <c r="I11" i="1"/>
  <c r="H11" i="1"/>
  <c r="G11" i="1"/>
  <c r="M10" i="1"/>
  <c r="L10" i="1"/>
  <c r="K10" i="1"/>
  <c r="J10" i="1"/>
  <c r="I10" i="1"/>
  <c r="H10" i="1"/>
  <c r="G10" i="1"/>
  <c r="M9" i="1"/>
  <c r="L9" i="1"/>
  <c r="K9" i="1"/>
  <c r="J9" i="1"/>
  <c r="I9" i="1"/>
  <c r="H9" i="1"/>
  <c r="G9" i="1"/>
  <c r="M8" i="1"/>
  <c r="L8" i="1"/>
  <c r="K8" i="1"/>
  <c r="J8" i="1"/>
  <c r="I8" i="1"/>
  <c r="H8" i="1"/>
  <c r="G8" i="1"/>
  <c r="M7" i="1"/>
  <c r="L7" i="1"/>
  <c r="K7" i="1"/>
  <c r="J7" i="1"/>
  <c r="I7" i="1"/>
  <c r="H7" i="1"/>
  <c r="G7" i="1"/>
  <c r="M6" i="1"/>
  <c r="L6" i="1"/>
  <c r="K6" i="1"/>
  <c r="J6" i="1"/>
  <c r="I6" i="1"/>
  <c r="H6" i="1"/>
  <c r="G6" i="1"/>
  <c r="M5" i="1"/>
  <c r="L5" i="1"/>
  <c r="K5" i="1"/>
  <c r="J5" i="1"/>
  <c r="I5" i="1"/>
  <c r="H5" i="1"/>
  <c r="G5" i="1"/>
  <c r="M4" i="1"/>
  <c r="L4" i="1"/>
  <c r="K4" i="1"/>
  <c r="J4" i="1"/>
  <c r="I4" i="1"/>
  <c r="H4" i="1"/>
  <c r="G4" i="1"/>
  <c r="M3" i="1"/>
  <c r="L3" i="1"/>
  <c r="K3" i="1"/>
  <c r="J3" i="1"/>
  <c r="I3" i="1"/>
  <c r="H3" i="1"/>
  <c r="G3" i="1"/>
</calcChain>
</file>

<file path=xl/sharedStrings.xml><?xml version="1.0" encoding="utf-8"?>
<sst xmlns="http://schemas.openxmlformats.org/spreadsheetml/2006/main" count="131" uniqueCount="61">
  <si>
    <t>OrderID</t>
  </si>
  <si>
    <t>OrderDate</t>
  </si>
  <si>
    <t>ProductID</t>
  </si>
  <si>
    <t>RegionID</t>
  </si>
  <si>
    <t>Quantity</t>
  </si>
  <si>
    <t>SalesAmount</t>
  </si>
  <si>
    <t>P101</t>
  </si>
  <si>
    <t>R1</t>
  </si>
  <si>
    <t>P102</t>
  </si>
  <si>
    <t>R2</t>
  </si>
  <si>
    <t>P103</t>
  </si>
  <si>
    <t>R3</t>
  </si>
  <si>
    <t>P104</t>
  </si>
  <si>
    <t>P105</t>
  </si>
  <si>
    <t>ProductName</t>
  </si>
  <si>
    <t>Category</t>
  </si>
  <si>
    <t>Electronics</t>
  </si>
  <si>
    <t>RegionName</t>
  </si>
  <si>
    <t>North</t>
  </si>
  <si>
    <t>South</t>
  </si>
  <si>
    <t>West</t>
  </si>
  <si>
    <t>O1001</t>
  </si>
  <si>
    <t>O1002</t>
  </si>
  <si>
    <t>O1003</t>
  </si>
  <si>
    <t>O1004</t>
  </si>
  <si>
    <t>O1005</t>
  </si>
  <si>
    <t>O1006</t>
  </si>
  <si>
    <t>O1007</t>
  </si>
  <si>
    <t>O1008</t>
  </si>
  <si>
    <t>O1009</t>
  </si>
  <si>
    <t>Microwave</t>
  </si>
  <si>
    <t>Refrigerator</t>
  </si>
  <si>
    <t>Washing Machine</t>
  </si>
  <si>
    <t>Oven</t>
  </si>
  <si>
    <t>Mixer</t>
  </si>
  <si>
    <t>Home Appliances</t>
  </si>
  <si>
    <t>Month</t>
  </si>
  <si>
    <t>Month No</t>
  </si>
  <si>
    <t>weekday</t>
  </si>
  <si>
    <t>week No</t>
  </si>
  <si>
    <t>Product Name</t>
  </si>
  <si>
    <t>category</t>
  </si>
  <si>
    <t>Region Name</t>
  </si>
  <si>
    <t>Row Labels</t>
  </si>
  <si>
    <t>Apr-2025</t>
  </si>
  <si>
    <t>Feb-2025</t>
  </si>
  <si>
    <t>Jan-2025</t>
  </si>
  <si>
    <t>Mar-2025</t>
  </si>
  <si>
    <t>Grand Total</t>
  </si>
  <si>
    <t>Sum of SalesAmount</t>
  </si>
  <si>
    <t>Sunday</t>
  </si>
  <si>
    <t>Monday</t>
  </si>
  <si>
    <t>Tuesday</t>
  </si>
  <si>
    <t>Wednesday</t>
  </si>
  <si>
    <t>Saturday</t>
  </si>
  <si>
    <t>(All)</t>
  </si>
  <si>
    <t>WEEKDAY ANALYSIS</t>
  </si>
  <si>
    <t>PRODUCT ANALYSIS</t>
  </si>
  <si>
    <t>CATEGORY ANALYSIS</t>
  </si>
  <si>
    <t>REGION ANALYSIS</t>
  </si>
  <si>
    <t>MONTHLY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</si>
</sst>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8"/>
      <color theme="1"/>
      <name val="Calibri"/>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3" fontId="0" fillId="0" borderId="0" xfId="0" applyNumberFormat="1"/>
    <xf numFmtId="3" fontId="0" fillId="0" borderId="0" xfId="0" applyNumberFormat="1" applyAlignment="1">
      <alignment vertical="center" wrapText="1"/>
    </xf>
    <xf numFmtId="0" fontId="1" fillId="0" borderId="0" xfId="0" applyFont="1"/>
    <xf numFmtId="0" fontId="0" fillId="0" borderId="0" xfId="0" applyAlignment="1">
      <alignment horizontal="center" vertical="center" wrapText="1"/>
    </xf>
    <xf numFmtId="0" fontId="0" fillId="0" borderId="0" xfId="0" pivotButton="1"/>
    <xf numFmtId="0" fontId="0" fillId="0" borderId="0" xfId="0" applyAlignment="1">
      <alignment horizontal="left"/>
    </xf>
    <xf numFmtId="0" fontId="0" fillId="0" borderId="2" xfId="0" applyBorder="1" applyAlignment="1">
      <alignment vertical="center" wrapText="1"/>
    </xf>
    <xf numFmtId="0" fontId="0" fillId="0" borderId="1" xfId="0"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3" fillId="0" borderId="0" xfId="0" applyFont="1" applyAlignment="1">
      <alignment horizontal="center"/>
    </xf>
    <xf numFmtId="0" fontId="0" fillId="0" borderId="0" xfId="0" applyAlignment="1">
      <alignment horizontal="center"/>
    </xf>
    <xf numFmtId="0" fontId="1" fillId="0" borderId="1" xfId="0" applyFont="1" applyBorder="1" applyAlignment="1">
      <alignment horizontal="center"/>
    </xf>
    <xf numFmtId="0" fontId="1" fillId="0" borderId="2" xfId="0" applyFont="1" applyBorder="1" applyAlignment="1">
      <alignment horizontal="center"/>
    </xf>
  </cellXfs>
  <cellStyles count="1">
    <cellStyle name="Normal" xfId="0" builtinId="0"/>
  </cellStyles>
  <dxfs count="24">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calleng 4 (Recovered).xlsx]Pivot 1!PivotTable1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1'!$B$4</c:f>
              <c:strCache>
                <c:ptCount val="1"/>
                <c:pt idx="0">
                  <c:v>Total</c:v>
                </c:pt>
              </c:strCache>
            </c:strRef>
          </c:tx>
          <c:spPr>
            <a:ln w="28575" cap="rnd">
              <a:solidFill>
                <a:schemeClr val="accent1"/>
              </a:solidFill>
              <a:round/>
            </a:ln>
            <a:effectLst/>
          </c:spPr>
          <c:marker>
            <c:symbol val="none"/>
          </c:marker>
          <c:cat>
            <c:strRef>
              <c:f>'Pivot 1'!$A$5:$A$9</c:f>
              <c:strCache>
                <c:ptCount val="4"/>
                <c:pt idx="0">
                  <c:v>Apr-2025</c:v>
                </c:pt>
                <c:pt idx="1">
                  <c:v>Feb-2025</c:v>
                </c:pt>
                <c:pt idx="2">
                  <c:v>Jan-2025</c:v>
                </c:pt>
                <c:pt idx="3">
                  <c:v>Mar-2025</c:v>
                </c:pt>
              </c:strCache>
            </c:strRef>
          </c:cat>
          <c:val>
            <c:numRef>
              <c:f>'Pivot 1'!$B$5:$B$9</c:f>
              <c:numCache>
                <c:formatCode>#,##0</c:formatCode>
                <c:ptCount val="4"/>
                <c:pt idx="0">
                  <c:v>30000</c:v>
                </c:pt>
                <c:pt idx="1">
                  <c:v>80000</c:v>
                </c:pt>
                <c:pt idx="2">
                  <c:v>140000</c:v>
                </c:pt>
                <c:pt idx="3">
                  <c:v>140000</c:v>
                </c:pt>
              </c:numCache>
            </c:numRef>
          </c:val>
          <c:smooth val="0"/>
          <c:extLst>
            <c:ext xmlns:c16="http://schemas.microsoft.com/office/drawing/2014/chart" uri="{C3380CC4-5D6E-409C-BE32-E72D297353CC}">
              <c16:uniqueId val="{00000000-2100-4C8C-B658-6F1E06F689F0}"/>
            </c:ext>
          </c:extLst>
        </c:ser>
        <c:dLbls>
          <c:showLegendKey val="0"/>
          <c:showVal val="0"/>
          <c:showCatName val="0"/>
          <c:showSerName val="0"/>
          <c:showPercent val="0"/>
          <c:showBubbleSize val="0"/>
        </c:dLbls>
        <c:smooth val="0"/>
        <c:axId val="209573184"/>
        <c:axId val="209569824"/>
      </c:lineChart>
      <c:catAx>
        <c:axId val="20957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69824"/>
        <c:crosses val="autoZero"/>
        <c:auto val="1"/>
        <c:lblAlgn val="ctr"/>
        <c:lblOffset val="100"/>
        <c:noMultiLvlLbl val="0"/>
      </c:catAx>
      <c:valAx>
        <c:axId val="209569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calleng 4 (Recovered).xlsx]Pivot 2!PivotTable4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2'!$B$7</c:f>
              <c:strCache>
                <c:ptCount val="1"/>
                <c:pt idx="0">
                  <c:v>Total</c:v>
                </c:pt>
              </c:strCache>
            </c:strRef>
          </c:tx>
          <c:spPr>
            <a:solidFill>
              <a:schemeClr val="accent1"/>
            </a:solidFill>
            <a:ln>
              <a:noFill/>
            </a:ln>
            <a:effectLst/>
            <a:sp3d/>
          </c:spPr>
          <c:invertIfNegative val="0"/>
          <c:cat>
            <c:strRef>
              <c:f>'Pivot 2'!$A$8:$A$13</c:f>
              <c:strCache>
                <c:ptCount val="5"/>
                <c:pt idx="0">
                  <c:v>Sunday</c:v>
                </c:pt>
                <c:pt idx="1">
                  <c:v>Monday</c:v>
                </c:pt>
                <c:pt idx="2">
                  <c:v>Tuesday</c:v>
                </c:pt>
                <c:pt idx="3">
                  <c:v>Wednesday</c:v>
                </c:pt>
                <c:pt idx="4">
                  <c:v>Saturday</c:v>
                </c:pt>
              </c:strCache>
            </c:strRef>
          </c:cat>
          <c:val>
            <c:numRef>
              <c:f>'Pivot 2'!$B$8:$B$13</c:f>
              <c:numCache>
                <c:formatCode>#,##0</c:formatCode>
                <c:ptCount val="5"/>
                <c:pt idx="0">
                  <c:v>55000</c:v>
                </c:pt>
                <c:pt idx="1">
                  <c:v>100000</c:v>
                </c:pt>
                <c:pt idx="2">
                  <c:v>90000</c:v>
                </c:pt>
                <c:pt idx="3">
                  <c:v>125000</c:v>
                </c:pt>
                <c:pt idx="4">
                  <c:v>20000</c:v>
                </c:pt>
              </c:numCache>
            </c:numRef>
          </c:val>
          <c:extLst>
            <c:ext xmlns:c16="http://schemas.microsoft.com/office/drawing/2014/chart" uri="{C3380CC4-5D6E-409C-BE32-E72D297353CC}">
              <c16:uniqueId val="{00000000-5EEA-45E8-AE2D-E606D7E38D79}"/>
            </c:ext>
          </c:extLst>
        </c:ser>
        <c:dLbls>
          <c:showLegendKey val="0"/>
          <c:showVal val="0"/>
          <c:showCatName val="0"/>
          <c:showSerName val="0"/>
          <c:showPercent val="0"/>
          <c:showBubbleSize val="0"/>
        </c:dLbls>
        <c:gapWidth val="150"/>
        <c:shape val="box"/>
        <c:axId val="17478912"/>
        <c:axId val="17476512"/>
        <c:axId val="0"/>
      </c:bar3DChart>
      <c:catAx>
        <c:axId val="17478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512"/>
        <c:crosses val="autoZero"/>
        <c:auto val="1"/>
        <c:lblAlgn val="ctr"/>
        <c:lblOffset val="100"/>
        <c:noMultiLvlLbl val="0"/>
      </c:catAx>
      <c:valAx>
        <c:axId val="17476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calleng 4 (Recovered).xlsx]pivot 3!PivotTable5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3'!$B$6</c:f>
              <c:strCache>
                <c:ptCount val="1"/>
                <c:pt idx="0">
                  <c:v>Total</c:v>
                </c:pt>
              </c:strCache>
            </c:strRef>
          </c:tx>
          <c:spPr>
            <a:solidFill>
              <a:schemeClr val="accent1"/>
            </a:solidFill>
            <a:ln>
              <a:noFill/>
            </a:ln>
            <a:effectLst/>
          </c:spPr>
          <c:invertIfNegative val="0"/>
          <c:cat>
            <c:strRef>
              <c:f>'pivot 3'!$A$7:$A$9</c:f>
              <c:strCache>
                <c:ptCount val="2"/>
                <c:pt idx="0">
                  <c:v>Electronics</c:v>
                </c:pt>
                <c:pt idx="1">
                  <c:v>Home Appliances</c:v>
                </c:pt>
              </c:strCache>
            </c:strRef>
          </c:cat>
          <c:val>
            <c:numRef>
              <c:f>'pivot 3'!$B$7:$B$9</c:f>
              <c:numCache>
                <c:formatCode>#,##0</c:formatCode>
                <c:ptCount val="2"/>
                <c:pt idx="0">
                  <c:v>375000</c:v>
                </c:pt>
                <c:pt idx="1">
                  <c:v>15000</c:v>
                </c:pt>
              </c:numCache>
            </c:numRef>
          </c:val>
          <c:extLst>
            <c:ext xmlns:c16="http://schemas.microsoft.com/office/drawing/2014/chart" uri="{C3380CC4-5D6E-409C-BE32-E72D297353CC}">
              <c16:uniqueId val="{00000000-2A38-4396-9350-1F4E90570DBE}"/>
            </c:ext>
          </c:extLst>
        </c:ser>
        <c:dLbls>
          <c:showLegendKey val="0"/>
          <c:showVal val="0"/>
          <c:showCatName val="0"/>
          <c:showSerName val="0"/>
          <c:showPercent val="0"/>
          <c:showBubbleSize val="0"/>
        </c:dLbls>
        <c:gapWidth val="219"/>
        <c:overlap val="-27"/>
        <c:axId val="1364823680"/>
        <c:axId val="1364825600"/>
      </c:barChart>
      <c:catAx>
        <c:axId val="136482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25600"/>
        <c:crosses val="autoZero"/>
        <c:auto val="1"/>
        <c:lblAlgn val="ctr"/>
        <c:lblOffset val="100"/>
        <c:noMultiLvlLbl val="0"/>
      </c:catAx>
      <c:valAx>
        <c:axId val="1364825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2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calleng 4 (Recovered).xlsx]Pivot 4!PivotTable6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4'!$B$6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A8-4107-96A8-FF4C6A1986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A8-4107-96A8-FF4C6A1986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A8-4107-96A8-FF4C6A1986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A8-4107-96A8-FF4C6A1986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A8-4107-96A8-FF4C6A1986FF}"/>
              </c:ext>
            </c:extLst>
          </c:dPt>
          <c:cat>
            <c:strRef>
              <c:f>'Pivot 4'!$A$7:$A$12</c:f>
              <c:strCache>
                <c:ptCount val="5"/>
                <c:pt idx="0">
                  <c:v>Microwave</c:v>
                </c:pt>
                <c:pt idx="1">
                  <c:v>Mixer</c:v>
                </c:pt>
                <c:pt idx="2">
                  <c:v>Oven</c:v>
                </c:pt>
                <c:pt idx="3">
                  <c:v>Refrigerator</c:v>
                </c:pt>
                <c:pt idx="4">
                  <c:v>Washing Machine</c:v>
                </c:pt>
              </c:strCache>
            </c:strRef>
          </c:cat>
          <c:val>
            <c:numRef>
              <c:f>'Pivot 4'!$B$7:$B$12</c:f>
              <c:numCache>
                <c:formatCode>#,##0</c:formatCode>
                <c:ptCount val="5"/>
                <c:pt idx="0">
                  <c:v>60000</c:v>
                </c:pt>
                <c:pt idx="1">
                  <c:v>15000</c:v>
                </c:pt>
                <c:pt idx="2">
                  <c:v>90000</c:v>
                </c:pt>
                <c:pt idx="3">
                  <c:v>100000</c:v>
                </c:pt>
                <c:pt idx="4">
                  <c:v>125000</c:v>
                </c:pt>
              </c:numCache>
            </c:numRef>
          </c:val>
          <c:extLst>
            <c:ext xmlns:c16="http://schemas.microsoft.com/office/drawing/2014/chart" uri="{C3380CC4-5D6E-409C-BE32-E72D297353CC}">
              <c16:uniqueId val="{00000000-B65E-45AD-B102-094A1E9F09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calleng 4 (Recovered).xlsx]Pivot 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5'!$B$6</c:f>
              <c:strCache>
                <c:ptCount val="1"/>
                <c:pt idx="0">
                  <c:v>Total</c:v>
                </c:pt>
              </c:strCache>
            </c:strRef>
          </c:tx>
          <c:spPr>
            <a:solidFill>
              <a:schemeClr val="accent1"/>
            </a:solidFill>
            <a:ln>
              <a:noFill/>
            </a:ln>
            <a:effectLst/>
          </c:spPr>
          <c:invertIfNegative val="0"/>
          <c:cat>
            <c:strRef>
              <c:f>'Pivot 5'!$A$7:$A$10</c:f>
              <c:strCache>
                <c:ptCount val="3"/>
                <c:pt idx="0">
                  <c:v>North</c:v>
                </c:pt>
                <c:pt idx="1">
                  <c:v>South</c:v>
                </c:pt>
                <c:pt idx="2">
                  <c:v>West</c:v>
                </c:pt>
              </c:strCache>
            </c:strRef>
          </c:cat>
          <c:val>
            <c:numRef>
              <c:f>'Pivot 5'!$B$7:$B$10</c:f>
              <c:numCache>
                <c:formatCode>#,##0</c:formatCode>
                <c:ptCount val="3"/>
                <c:pt idx="0">
                  <c:v>160000</c:v>
                </c:pt>
                <c:pt idx="1">
                  <c:v>160000</c:v>
                </c:pt>
                <c:pt idx="2">
                  <c:v>70000</c:v>
                </c:pt>
              </c:numCache>
            </c:numRef>
          </c:val>
          <c:extLst>
            <c:ext xmlns:c16="http://schemas.microsoft.com/office/drawing/2014/chart" uri="{C3380CC4-5D6E-409C-BE32-E72D297353CC}">
              <c16:uniqueId val="{00000000-96B5-4001-9D11-38A267387A1D}"/>
            </c:ext>
          </c:extLst>
        </c:ser>
        <c:dLbls>
          <c:showLegendKey val="0"/>
          <c:showVal val="0"/>
          <c:showCatName val="0"/>
          <c:showSerName val="0"/>
          <c:showPercent val="0"/>
          <c:showBubbleSize val="0"/>
        </c:dLbls>
        <c:gapWidth val="219"/>
        <c:overlap val="-27"/>
        <c:axId val="1576846816"/>
        <c:axId val="212678816"/>
      </c:barChart>
      <c:catAx>
        <c:axId val="157684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78816"/>
        <c:crosses val="autoZero"/>
        <c:auto val="1"/>
        <c:lblAlgn val="ctr"/>
        <c:lblOffset val="100"/>
        <c:noMultiLvlLbl val="0"/>
      </c:catAx>
      <c:valAx>
        <c:axId val="212678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84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1196340</xdr:colOff>
      <xdr:row>14</xdr:row>
      <xdr:rowOff>175260</xdr:rowOff>
    </xdr:from>
    <xdr:to>
      <xdr:col>8</xdr:col>
      <xdr:colOff>457200</xdr:colOff>
      <xdr:row>28</xdr:row>
      <xdr:rowOff>22860</xdr:rowOff>
    </xdr:to>
    <xdr:graphicFrame macro="">
      <xdr:nvGraphicFramePr>
        <xdr:cNvPr id="3" name="Chart 2">
          <a:extLst>
            <a:ext uri="{FF2B5EF4-FFF2-40B4-BE49-F238E27FC236}">
              <a16:creationId xmlns:a16="http://schemas.microsoft.com/office/drawing/2014/main" id="{691038B8-B0BA-6D1E-CDE2-7207FC4B9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312420</xdr:colOff>
      <xdr:row>2</xdr:row>
      <xdr:rowOff>175261</xdr:rowOff>
    </xdr:from>
    <xdr:to>
      <xdr:col>7</xdr:col>
      <xdr:colOff>342900</xdr:colOff>
      <xdr:row>13</xdr:row>
      <xdr:rowOff>7621</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39C8ECAC-2DB9-75ED-D9A4-4733A379112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80460" y="739141"/>
              <a:ext cx="1859280" cy="1844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2</xdr:row>
      <xdr:rowOff>175261</xdr:rowOff>
    </xdr:from>
    <xdr:to>
      <xdr:col>10</xdr:col>
      <xdr:colOff>586740</xdr:colOff>
      <xdr:row>13</xdr:row>
      <xdr:rowOff>15241</xdr:rowOff>
    </xdr:to>
    <mc:AlternateContent xmlns:mc="http://schemas.openxmlformats.org/markup-compatibility/2006" xmlns:a14="http://schemas.microsoft.com/office/drawing/2010/main">
      <mc:Choice Requires="a14">
        <xdr:graphicFrame macro="">
          <xdr:nvGraphicFramePr>
            <xdr:cNvPr id="5" name="Product Name">
              <a:extLst>
                <a:ext uri="{FF2B5EF4-FFF2-40B4-BE49-F238E27FC236}">
                  <a16:creationId xmlns:a16="http://schemas.microsoft.com/office/drawing/2014/main" id="{F1810332-498F-E1A6-9930-1B8F4C3F8D7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5791200" y="739141"/>
              <a:ext cx="182118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274320</xdr:colOff>
      <xdr:row>3</xdr:row>
      <xdr:rowOff>1</xdr:rowOff>
    </xdr:from>
    <xdr:to>
      <xdr:col>14</xdr:col>
      <xdr:colOff>289560</xdr:colOff>
      <xdr:row>13</xdr:row>
      <xdr:rowOff>38101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879291F6-58AD-6618-C16C-9F05ADC892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09560" y="746761"/>
              <a:ext cx="184404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3</xdr:row>
      <xdr:rowOff>22861</xdr:rowOff>
    </xdr:from>
    <xdr:to>
      <xdr:col>18</xdr:col>
      <xdr:colOff>7620</xdr:colOff>
      <xdr:row>13</xdr:row>
      <xdr:rowOff>15240</xdr:rowOff>
    </xdr:to>
    <mc:AlternateContent xmlns:mc="http://schemas.openxmlformats.org/markup-compatibility/2006" xmlns:a14="http://schemas.microsoft.com/office/drawing/2010/main">
      <mc:Choice Requires="a14">
        <xdr:graphicFrame macro="">
          <xdr:nvGraphicFramePr>
            <xdr:cNvPr id="7" name="Region Name">
              <a:extLst>
                <a:ext uri="{FF2B5EF4-FFF2-40B4-BE49-F238E27FC236}">
                  <a16:creationId xmlns:a16="http://schemas.microsoft.com/office/drawing/2014/main" id="{3BBF36ED-9607-D462-C150-28E92532A7DD}"/>
                </a:ext>
              </a:extLst>
            </xdr:cNvPr>
            <xdr:cNvGraphicFramePr/>
          </xdr:nvGraphicFramePr>
          <xdr:xfrm>
            <a:off x="0" y="0"/>
            <a:ext cx="0" cy="0"/>
          </xdr:xfrm>
          <a:graphic>
            <a:graphicData uri="http://schemas.microsoft.com/office/drawing/2010/slicer">
              <sle:slicer xmlns:sle="http://schemas.microsoft.com/office/drawing/2010/slicer" name="Region Name"/>
            </a:graphicData>
          </a:graphic>
        </xdr:graphicFrame>
      </mc:Choice>
      <mc:Fallback xmlns="">
        <xdr:sp macro="" textlink="">
          <xdr:nvSpPr>
            <xdr:cNvPr id="0" name=""/>
            <xdr:cNvSpPr>
              <a:spLocks noTextEdit="1"/>
            </xdr:cNvSpPr>
          </xdr:nvSpPr>
          <xdr:spPr>
            <a:xfrm>
              <a:off x="10073640" y="769621"/>
              <a:ext cx="1836420" cy="1821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1051560</xdr:colOff>
      <xdr:row>14</xdr:row>
      <xdr:rowOff>76200</xdr:rowOff>
    </xdr:from>
    <xdr:to>
      <xdr:col>8</xdr:col>
      <xdr:colOff>312420</xdr:colOff>
      <xdr:row>27</xdr:row>
      <xdr:rowOff>114300</xdr:rowOff>
    </xdr:to>
    <xdr:graphicFrame macro="">
      <xdr:nvGraphicFramePr>
        <xdr:cNvPr id="2" name="Chart 1">
          <a:extLst>
            <a:ext uri="{FF2B5EF4-FFF2-40B4-BE49-F238E27FC236}">
              <a16:creationId xmlns:a16="http://schemas.microsoft.com/office/drawing/2014/main" id="{4C6E9099-7B2D-725C-6473-4CE68BFB9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0</xdr:rowOff>
    </xdr:from>
    <xdr:to>
      <xdr:col>4</xdr:col>
      <xdr:colOff>213360</xdr:colOff>
      <xdr:row>23</xdr:row>
      <xdr:rowOff>167640</xdr:rowOff>
    </xdr:to>
    <xdr:graphicFrame macro="">
      <xdr:nvGraphicFramePr>
        <xdr:cNvPr id="2" name="Chart 1">
          <a:extLst>
            <a:ext uri="{FF2B5EF4-FFF2-40B4-BE49-F238E27FC236}">
              <a16:creationId xmlns:a16="http://schemas.microsoft.com/office/drawing/2014/main" id="{0F8F9FFA-A30E-7927-5965-FB3FA778F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167640</xdr:rowOff>
    </xdr:from>
    <xdr:to>
      <xdr:col>4</xdr:col>
      <xdr:colOff>45720</xdr:colOff>
      <xdr:row>24</xdr:row>
      <xdr:rowOff>30480</xdr:rowOff>
    </xdr:to>
    <xdr:graphicFrame macro="">
      <xdr:nvGraphicFramePr>
        <xdr:cNvPr id="2" name="Chart 1">
          <a:extLst>
            <a:ext uri="{FF2B5EF4-FFF2-40B4-BE49-F238E27FC236}">
              <a16:creationId xmlns:a16="http://schemas.microsoft.com/office/drawing/2014/main" id="{67D28E74-1DEC-306B-38C9-E1439B10F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6</xdr:row>
      <xdr:rowOff>0</xdr:rowOff>
    </xdr:from>
    <xdr:to>
      <xdr:col>12</xdr:col>
      <xdr:colOff>7620</xdr:colOff>
      <xdr:row>20</xdr:row>
      <xdr:rowOff>30480</xdr:rowOff>
    </xdr:to>
    <xdr:graphicFrame macro="">
      <xdr:nvGraphicFramePr>
        <xdr:cNvPr id="2" name="Chart 1">
          <a:extLst>
            <a:ext uri="{FF2B5EF4-FFF2-40B4-BE49-F238E27FC236}">
              <a16:creationId xmlns:a16="http://schemas.microsoft.com/office/drawing/2014/main" id="{116D741E-D2B6-E88F-086D-CF5EC34DC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0.993287037039" createdVersion="8" refreshedVersion="8" minRefreshableVersion="3" recordCount="9" xr:uid="{B617867B-6922-4AD7-90EE-3157C70207AC}">
  <cacheSource type="worksheet">
    <worksheetSource ref="A2:M11" sheet="Sales"/>
  </cacheSource>
  <cacheFields count="13">
    <cacheField name="OrderID" numFmtId="0">
      <sharedItems/>
    </cacheField>
    <cacheField name="OrderDate" numFmtId="15">
      <sharedItems containsSemiMixedTypes="0" containsNonDate="0" containsDate="1" containsString="0" minDate="2025-01-05T00:00:00" maxDate="2025-04-16T00:00:00"/>
    </cacheField>
    <cacheField name="ProductID" numFmtId="0">
      <sharedItems/>
    </cacheField>
    <cacheField name="RegionID" numFmtId="0">
      <sharedItems/>
    </cacheField>
    <cacheField name="Quantity" numFmtId="0">
      <sharedItems containsSemiMixedTypes="0" containsString="0" containsNumber="1" containsInteger="1" minValue="1" maxValue="3"/>
    </cacheField>
    <cacheField name="SalesAmount" numFmtId="3">
      <sharedItems containsSemiMixedTypes="0" containsString="0" containsNumber="1" containsInteger="1" minValue="15000" maxValue="75000"/>
    </cacheField>
    <cacheField name="Month" numFmtId="0">
      <sharedItems count="4">
        <s v="Jan-2025"/>
        <s v="Feb-2025"/>
        <s v="Mar-2025"/>
        <s v="Apr-2025"/>
      </sharedItems>
    </cacheField>
    <cacheField name="Month No" numFmtId="0">
      <sharedItems containsSemiMixedTypes="0" containsString="0" containsNumber="1" containsInteger="1" minValue="1" maxValue="4"/>
    </cacheField>
    <cacheField name="weekday" numFmtId="0">
      <sharedItems count="12">
        <s v="Sunday"/>
        <s v="Monday"/>
        <s v="Wednesday"/>
        <s v="Saturday"/>
        <s v="Tuesday"/>
        <s v="Formula1" f="1"/>
        <s v="Formula2" f="1"/>
        <s v="Formula3" f="1"/>
        <s v="Formula4" f="1"/>
        <s v="Formula5" f="1"/>
        <s v="Formula6" f="1"/>
        <s v="Formula7" f="1"/>
      </sharedItems>
    </cacheField>
    <cacheField name="week No" numFmtId="0">
      <sharedItems containsSemiMixedTypes="0" containsString="0" containsNumber="1" containsInteger="1" minValue="1" maxValue="7"/>
    </cacheField>
    <cacheField name="Product Name" numFmtId="0">
      <sharedItems count="2">
        <s v="Electronics"/>
        <s v="Home Appliances"/>
      </sharedItems>
    </cacheField>
    <cacheField name="category" numFmtId="0">
      <sharedItems count="5">
        <s v="Microwave"/>
        <s v="Refrigerator"/>
        <s v="Washing Machine"/>
        <s v="Oven"/>
        <s v="Mixer"/>
      </sharedItems>
    </cacheField>
    <cacheField name="Region Name" numFmtId="0">
      <sharedItems count="3">
        <s v="North"/>
        <s v="South"/>
        <s v="West"/>
      </sharedItems>
    </cacheField>
  </cacheFields>
  <calculatedItems count="7">
    <calculatedItem>
      <pivotArea cacheIndex="1" outline="0" fieldPosition="0">
        <references count="1">
          <reference field="8" count="1">
            <x v="5"/>
          </reference>
        </references>
      </pivotArea>
    </calculatedItem>
    <calculatedItem>
      <pivotArea cacheIndex="1" outline="0" fieldPosition="0">
        <references count="1">
          <reference field="8" count="1">
            <x v="6"/>
          </reference>
        </references>
      </pivotArea>
    </calculatedItem>
    <calculatedItem>
      <pivotArea cacheIndex="1" outline="0" fieldPosition="0">
        <references count="1">
          <reference field="8" count="1">
            <x v="7"/>
          </reference>
        </references>
      </pivotArea>
    </calculatedItem>
    <calculatedItem>
      <pivotArea cacheIndex="1" outline="0" fieldPosition="0">
        <references count="1">
          <reference field="8" count="1">
            <x v="8"/>
          </reference>
        </references>
      </pivotArea>
    </calculatedItem>
    <calculatedItem>
      <pivotArea cacheIndex="1" outline="0" fieldPosition="0">
        <references count="1">
          <reference field="8" count="1">
            <x v="9"/>
          </reference>
        </references>
      </pivotArea>
    </calculatedItem>
    <calculatedItem>
      <pivotArea cacheIndex="1" outline="0" fieldPosition="0">
        <references count="1">
          <reference field="8" count="1">
            <x v="10"/>
          </reference>
        </references>
      </pivotArea>
    </calculatedItem>
    <calculatedItem>
      <pivotArea cacheIndex="1" outline="0" fieldPosition="0">
        <references count="1">
          <reference field="8" count="1">
            <x v="11"/>
          </reference>
        </references>
      </pivotArea>
    </calculatedItem>
  </calculatedItems>
  <extLst>
    <ext xmlns:x14="http://schemas.microsoft.com/office/spreadsheetml/2009/9/main" uri="{725AE2AE-9491-48be-B2B4-4EB974FC3084}">
      <x14:pivotCacheDefinition pivotCacheId="1956106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O1001"/>
    <d v="2025-01-05T00:00:00"/>
    <s v="P101"/>
    <s v="R1"/>
    <n v="2"/>
    <n v="40000"/>
    <x v="0"/>
    <n v="1"/>
    <x v="0"/>
    <n v="7"/>
    <x v="0"/>
    <x v="0"/>
    <x v="0"/>
  </r>
  <r>
    <s v="O1002"/>
    <d v="2025-01-06T00:00:00"/>
    <s v="P102"/>
    <s v="R2"/>
    <n v="1"/>
    <n v="25000"/>
    <x v="0"/>
    <n v="1"/>
    <x v="1"/>
    <n v="1"/>
    <x v="0"/>
    <x v="1"/>
    <x v="1"/>
  </r>
  <r>
    <s v="O1003"/>
    <d v="2025-01-08T00:00:00"/>
    <s v="P103"/>
    <s v="R1"/>
    <n v="3"/>
    <n v="75000"/>
    <x v="0"/>
    <n v="1"/>
    <x v="2"/>
    <n v="3"/>
    <x v="0"/>
    <x v="2"/>
    <x v="0"/>
  </r>
  <r>
    <s v="O1004"/>
    <d v="2025-02-15T00:00:00"/>
    <s v="P101"/>
    <s v="R3"/>
    <n v="1"/>
    <n v="20000"/>
    <x v="1"/>
    <n v="2"/>
    <x v="3"/>
    <n v="6"/>
    <x v="0"/>
    <x v="0"/>
    <x v="2"/>
  </r>
  <r>
    <s v="O1005"/>
    <d v="2025-02-18T00:00:00"/>
    <s v="P104"/>
    <s v="R2"/>
    <n v="2"/>
    <n v="60000"/>
    <x v="1"/>
    <n v="2"/>
    <x v="4"/>
    <n v="2"/>
    <x v="0"/>
    <x v="3"/>
    <x v="1"/>
  </r>
  <r>
    <s v="O1006"/>
    <d v="2025-03-02T00:00:00"/>
    <s v="P105"/>
    <s v="R1"/>
    <n v="1"/>
    <n v="15000"/>
    <x v="2"/>
    <n v="3"/>
    <x v="0"/>
    <n v="7"/>
    <x v="1"/>
    <x v="4"/>
    <x v="0"/>
  </r>
  <r>
    <s v="O1007"/>
    <d v="2025-03-05T00:00:00"/>
    <s v="P103"/>
    <s v="R3"/>
    <n v="2"/>
    <n v="50000"/>
    <x v="2"/>
    <n v="3"/>
    <x v="2"/>
    <n v="3"/>
    <x v="0"/>
    <x v="2"/>
    <x v="2"/>
  </r>
  <r>
    <s v="O1008"/>
    <d v="2025-03-10T00:00:00"/>
    <s v="P102"/>
    <s v="R2"/>
    <n v="3"/>
    <n v="75000"/>
    <x v="2"/>
    <n v="3"/>
    <x v="1"/>
    <n v="1"/>
    <x v="0"/>
    <x v="1"/>
    <x v="1"/>
  </r>
  <r>
    <s v="O1009"/>
    <d v="2025-04-15T00:00:00"/>
    <s v="P104"/>
    <s v="R1"/>
    <n v="1"/>
    <n v="30000"/>
    <x v="3"/>
    <n v="4"/>
    <x v="4"/>
    <n v="2"/>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1FB7C2-53F1-4672-B42C-4B8F3BFC1C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B9" firstHeaderRow="1" firstDataRow="1" firstDataCol="1"/>
  <pivotFields count="13">
    <pivotField showAll="0"/>
    <pivotField numFmtId="15" showAll="0"/>
    <pivotField showAll="0"/>
    <pivotField showAll="0"/>
    <pivotField showAll="0"/>
    <pivotField dataField="1" numFmtId="3" showAll="0"/>
    <pivotField axis="axisRow" showAll="0" sortType="ascending">
      <items count="5">
        <item x="3"/>
        <item x="1"/>
        <item x="0"/>
        <item x="2"/>
        <item t="default"/>
      </items>
    </pivotField>
    <pivotField showAll="0"/>
    <pivotField showAll="0">
      <items count="13">
        <item x="0"/>
        <item x="1"/>
        <item x="4"/>
        <item x="2"/>
        <item x="3"/>
        <item f="1" x="5"/>
        <item f="1" x="6"/>
        <item f="1" x="7"/>
        <item f="1" x="8"/>
        <item f="1" x="9"/>
        <item f="1" x="10"/>
        <item f="1" x="11"/>
        <item t="default"/>
      </items>
    </pivotField>
    <pivotField showAll="0"/>
    <pivotField showAll="0">
      <items count="3">
        <item x="0"/>
        <item x="1"/>
        <item t="default"/>
      </items>
    </pivotField>
    <pivotField showAll="0">
      <items count="6">
        <item x="0"/>
        <item x="4"/>
        <item x="3"/>
        <item x="1"/>
        <item x="2"/>
        <item t="default"/>
      </items>
    </pivotField>
    <pivotField showAll="0">
      <items count="4">
        <item x="0"/>
        <item x="1"/>
        <item x="2"/>
        <item t="default"/>
      </items>
    </pivotField>
  </pivotFields>
  <rowFields count="1">
    <field x="6"/>
  </rowFields>
  <rowItems count="5">
    <i>
      <x/>
    </i>
    <i>
      <x v="1"/>
    </i>
    <i>
      <x v="2"/>
    </i>
    <i>
      <x v="3"/>
    </i>
    <i t="grand">
      <x/>
    </i>
  </rowItems>
  <colItems count="1">
    <i/>
  </colItems>
  <dataFields count="1">
    <dataField name="Sum of SalesAmount" fld="5" baseField="0" baseItem="0" numFmtId="3"/>
  </dataField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61B13-D809-43A5-BDE7-82EEA98A56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13" firstHeaderRow="1" firstDataRow="1" firstDataCol="1" rowPageCount="4" colPageCount="1"/>
  <pivotFields count="13">
    <pivotField showAll="0"/>
    <pivotField numFmtId="15" showAll="0"/>
    <pivotField showAll="0"/>
    <pivotField showAll="0"/>
    <pivotField showAll="0"/>
    <pivotField dataField="1" numFmtId="3" showAll="0"/>
    <pivotField axis="axisPage" showAll="0">
      <items count="5">
        <item x="3"/>
        <item x="1"/>
        <item x="0"/>
        <item x="2"/>
        <item t="default"/>
      </items>
    </pivotField>
    <pivotField showAll="0"/>
    <pivotField axis="axisRow" showAll="0" sortType="ascending">
      <items count="13">
        <item x="0"/>
        <item x="1"/>
        <item x="4"/>
        <item x="2"/>
        <item x="3"/>
        <item h="1" f="1" x="5"/>
        <item h="1" f="1" x="6"/>
        <item h="1" f="1" x="7"/>
        <item h="1" f="1" x="8"/>
        <item h="1" f="1" x="9"/>
        <item h="1" f="1" x="10"/>
        <item h="1" f="1" x="11"/>
        <item t="default"/>
      </items>
    </pivotField>
    <pivotField showAll="0"/>
    <pivotField axis="axisPage" showAll="0">
      <items count="3">
        <item x="0"/>
        <item x="1"/>
        <item t="default"/>
      </items>
    </pivotField>
    <pivotField axis="axisPage" showAll="0">
      <items count="6">
        <item x="0"/>
        <item x="4"/>
        <item x="3"/>
        <item x="1"/>
        <item x="2"/>
        <item t="default"/>
      </items>
    </pivotField>
    <pivotField axis="axisPage" showAll="0">
      <items count="4">
        <item x="0"/>
        <item x="1"/>
        <item x="2"/>
        <item t="default"/>
      </items>
    </pivotField>
  </pivotFields>
  <rowFields count="1">
    <field x="8"/>
  </rowFields>
  <rowItems count="6">
    <i>
      <x/>
    </i>
    <i>
      <x v="1"/>
    </i>
    <i>
      <x v="2"/>
    </i>
    <i>
      <x v="3"/>
    </i>
    <i>
      <x v="4"/>
    </i>
    <i t="grand">
      <x/>
    </i>
  </rowItems>
  <colItems count="1">
    <i/>
  </colItems>
  <pageFields count="4">
    <pageField fld="6" hier="-1"/>
    <pageField fld="11" hier="-1"/>
    <pageField fld="12" hier="-1"/>
    <pageField fld="10" hier="-1"/>
  </pageFields>
  <dataFields count="1">
    <dataField name="Sum of SalesAmount" fld="5" baseField="0" baseItem="0" numFmtId="3"/>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039C47-2D9F-46B5-A639-4B61445E7E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B9" firstHeaderRow="1" firstDataRow="1" firstDataCol="1" rowPageCount="3" colPageCount="1"/>
  <pivotFields count="13">
    <pivotField showAll="0"/>
    <pivotField numFmtId="15" showAll="0"/>
    <pivotField showAll="0"/>
    <pivotField showAll="0"/>
    <pivotField showAll="0"/>
    <pivotField dataField="1" numFmtId="3" showAll="0"/>
    <pivotField axis="axisPage" showAll="0">
      <items count="5">
        <item x="3"/>
        <item x="1"/>
        <item x="0"/>
        <item x="2"/>
        <item t="default"/>
      </items>
    </pivotField>
    <pivotField showAll="0"/>
    <pivotField showAll="0">
      <items count="13">
        <item x="0"/>
        <item x="1"/>
        <item x="4"/>
        <item x="2"/>
        <item x="3"/>
        <item f="1" x="5"/>
        <item f="1" x="6"/>
        <item f="1" x="7"/>
        <item f="1" x="8"/>
        <item f="1" x="9"/>
        <item f="1" x="10"/>
        <item f="1" x="11"/>
        <item t="default"/>
      </items>
    </pivotField>
    <pivotField showAll="0"/>
    <pivotField axis="axisRow" showAll="0" measureFilter="1">
      <items count="3">
        <item x="0"/>
        <item x="1"/>
        <item t="default"/>
      </items>
    </pivotField>
    <pivotField axis="axisPage" showAll="0">
      <items count="6">
        <item x="0"/>
        <item x="4"/>
        <item x="3"/>
        <item x="1"/>
        <item x="2"/>
        <item t="default"/>
      </items>
    </pivotField>
    <pivotField axis="axisPage" showAll="0">
      <items count="4">
        <item x="0"/>
        <item x="1"/>
        <item x="2"/>
        <item t="default"/>
      </items>
    </pivotField>
  </pivotFields>
  <rowFields count="1">
    <field x="10"/>
  </rowFields>
  <rowItems count="3">
    <i>
      <x/>
    </i>
    <i>
      <x v="1"/>
    </i>
    <i t="grand">
      <x/>
    </i>
  </rowItems>
  <colItems count="1">
    <i/>
  </colItems>
  <pageFields count="3">
    <pageField fld="6" hier="-1"/>
    <pageField fld="11" hier="-1"/>
    <pageField fld="12" hier="-1"/>
  </pageFields>
  <dataFields count="1">
    <dataField name="Sum of SalesAmount" fld="5" baseField="0" baseItem="0" numFmtId="3"/>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E7E2F4-4A2F-445C-AA1B-A000ABB8C8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B12" firstHeaderRow="1" firstDataRow="1" firstDataCol="1" rowPageCount="3" colPageCount="1"/>
  <pivotFields count="13">
    <pivotField showAll="0"/>
    <pivotField numFmtId="15" showAll="0"/>
    <pivotField showAll="0"/>
    <pivotField showAll="0"/>
    <pivotField showAll="0"/>
    <pivotField dataField="1" numFmtId="3" showAll="0"/>
    <pivotField axis="axisPage" showAll="0">
      <items count="5">
        <item x="3"/>
        <item x="1"/>
        <item x="0"/>
        <item x="2"/>
        <item t="default"/>
      </items>
    </pivotField>
    <pivotField showAll="0"/>
    <pivotField showAll="0">
      <items count="13">
        <item x="0"/>
        <item x="1"/>
        <item x="4"/>
        <item x="2"/>
        <item x="3"/>
        <item f="1" x="5"/>
        <item f="1" x="6"/>
        <item f="1" x="7"/>
        <item f="1" x="8"/>
        <item f="1" x="9"/>
        <item f="1" x="10"/>
        <item f="1" x="11"/>
        <item t="default"/>
      </items>
    </pivotField>
    <pivotField showAll="0"/>
    <pivotField axis="axisPage" showAll="0">
      <items count="3">
        <item x="0"/>
        <item x="1"/>
        <item t="default"/>
      </items>
    </pivotField>
    <pivotField axis="axisRow" showAll="0">
      <items count="6">
        <item x="0"/>
        <item x="4"/>
        <item x="3"/>
        <item x="1"/>
        <item x="2"/>
        <item t="default"/>
      </items>
    </pivotField>
    <pivotField axis="axisPage" showAll="0">
      <items count="4">
        <item x="0"/>
        <item x="1"/>
        <item x="2"/>
        <item t="default"/>
      </items>
    </pivotField>
  </pivotFields>
  <rowFields count="1">
    <field x="11"/>
  </rowFields>
  <rowItems count="6">
    <i>
      <x/>
    </i>
    <i>
      <x v="1"/>
    </i>
    <i>
      <x v="2"/>
    </i>
    <i>
      <x v="3"/>
    </i>
    <i>
      <x v="4"/>
    </i>
    <i t="grand">
      <x/>
    </i>
  </rowItems>
  <colItems count="1">
    <i/>
  </colItems>
  <pageFields count="3">
    <pageField fld="6" hier="-1"/>
    <pageField fld="10" hier="-1"/>
    <pageField fld="12" hier="-1"/>
  </pageFields>
  <dataFields count="1">
    <dataField name="Sum of SalesAmount" fld="5" baseField="0" baseItem="0" numFmtId="3"/>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0"/>
          </reference>
        </references>
      </pivotArea>
    </chartFormat>
    <chartFormat chart="3" format="2">
      <pivotArea type="data" outline="0" fieldPosition="0">
        <references count="2">
          <reference field="4294967294" count="1" selected="0">
            <x v="0"/>
          </reference>
          <reference field="11" count="1" selected="0">
            <x v="1"/>
          </reference>
        </references>
      </pivotArea>
    </chartFormat>
    <chartFormat chart="3" format="3">
      <pivotArea type="data" outline="0" fieldPosition="0">
        <references count="2">
          <reference field="4294967294" count="1" selected="0">
            <x v="0"/>
          </reference>
          <reference field="11" count="1" selected="0">
            <x v="2"/>
          </reference>
        </references>
      </pivotArea>
    </chartFormat>
    <chartFormat chart="3" format="4">
      <pivotArea type="data" outline="0" fieldPosition="0">
        <references count="2">
          <reference field="4294967294" count="1" selected="0">
            <x v="0"/>
          </reference>
          <reference field="11" count="1" selected="0">
            <x v="3"/>
          </reference>
        </references>
      </pivotArea>
    </chartFormat>
    <chartFormat chart="3" format="5">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4DA771-DD71-4EE4-A3DC-84101378CE8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B10" firstHeaderRow="1" firstDataRow="1" firstDataCol="1" rowPageCount="3" colPageCount="1"/>
  <pivotFields count="13">
    <pivotField showAll="0"/>
    <pivotField numFmtId="15" showAll="0"/>
    <pivotField showAll="0"/>
    <pivotField showAll="0"/>
    <pivotField showAll="0"/>
    <pivotField dataField="1" numFmtId="3" showAll="0"/>
    <pivotField axis="axisPage" showAll="0">
      <items count="5">
        <item x="3"/>
        <item x="1"/>
        <item x="0"/>
        <item x="2"/>
        <item t="default"/>
      </items>
    </pivotField>
    <pivotField showAll="0"/>
    <pivotField showAll="0">
      <items count="13">
        <item x="0"/>
        <item x="1"/>
        <item x="4"/>
        <item x="2"/>
        <item x="3"/>
        <item f="1" x="5"/>
        <item f="1" x="6"/>
        <item f="1" x="7"/>
        <item f="1" x="8"/>
        <item f="1" x="9"/>
        <item f="1" x="10"/>
        <item f="1" x="11"/>
        <item t="default"/>
      </items>
    </pivotField>
    <pivotField showAll="0"/>
    <pivotField axis="axisPage" showAll="0">
      <items count="3">
        <item x="0"/>
        <item x="1"/>
        <item t="default"/>
      </items>
    </pivotField>
    <pivotField axis="axisPage" showAll="0">
      <items count="6">
        <item x="0"/>
        <item x="4"/>
        <item x="3"/>
        <item x="1"/>
        <item x="2"/>
        <item t="default"/>
      </items>
    </pivotField>
    <pivotField axis="axisRow" showAll="0">
      <items count="4">
        <item x="0"/>
        <item x="1"/>
        <item x="2"/>
        <item t="default"/>
      </items>
    </pivotField>
  </pivotFields>
  <rowFields count="1">
    <field x="12"/>
  </rowFields>
  <rowItems count="4">
    <i>
      <x/>
    </i>
    <i>
      <x v="1"/>
    </i>
    <i>
      <x v="2"/>
    </i>
    <i t="grand">
      <x/>
    </i>
  </rowItems>
  <colItems count="1">
    <i/>
  </colItems>
  <pageFields count="3">
    <pageField fld="6" hier="-1"/>
    <pageField fld="11" hier="-1"/>
    <pageField fld="10" hier="-1"/>
  </pageFields>
  <dataFields count="1">
    <dataField name="Sum of SalesAmount" fld="5"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BA3A5C-944E-479A-AA5F-308CC8E42291}" sourceName="Month">
  <pivotTables>
    <pivotTable tabId="4" name="PivotTable1"/>
  </pivotTables>
  <data>
    <tabular pivotCacheId="195610685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7046050-F652-42AF-9C77-2B12C44F0BAA}" sourceName="Product Name">
  <pivotTables>
    <pivotTable tabId="4" name="PivotTable1"/>
  </pivotTables>
  <data>
    <tabular pivotCacheId="19561068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5DE937-41D6-4313-A3F4-CE549DC6E201}" sourceName="category">
  <pivotTables>
    <pivotTable tabId="4" name="PivotTable1"/>
  </pivotTables>
  <data>
    <tabular pivotCacheId="1956106852">
      <items count="5">
        <i x="0" s="1"/>
        <i x="4"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Name" xr10:uid="{D9060BC1-E874-4425-80F2-38A5FD891A80}" sourceName="Region Name">
  <pivotTables>
    <pivotTable tabId="4" name="PivotTable1"/>
  </pivotTables>
  <data>
    <tabular pivotCacheId="19561068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1480A6C-B58F-4B46-8F4E-CDD1D04E0666}" cache="Slicer_Month" caption="Month" rowHeight="234950"/>
  <slicer name="Product Name" xr10:uid="{84C10694-3C77-4BBE-ADFC-5BE710332517}" cache="Slicer_Product_Name" caption="Product Name" rowHeight="234950"/>
  <slicer name="category" xr10:uid="{2D140403-7FD1-4062-8E91-B9C03C2F99DF}" cache="Slicer_category" caption="category" rowHeight="234950"/>
  <slicer name="Region Name" xr10:uid="{4636BB4A-8825-449F-995C-6E50B606C1F7}" cache="Slicer_Region_Name" caption="Region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6BDB98-27B5-4097-B1F2-810471DDF7A5}" name="Table1" displayName="Table1" ref="A2:M11" totalsRowShown="0" headerRowDxfId="23" dataDxfId="22">
  <autoFilter ref="A2:M11" xr:uid="{716BDB98-27B5-4097-B1F2-810471DDF7A5}"/>
  <tableColumns count="13">
    <tableColumn id="1" xr3:uid="{A3F2692E-6E43-4098-AA68-F638E8BB1E32}" name="OrderID" dataDxfId="21"/>
    <tableColumn id="2" xr3:uid="{6C87AA40-C713-48CD-B30C-F90375A430B2}" name="OrderDate" dataDxfId="20"/>
    <tableColumn id="3" xr3:uid="{3E993D8A-F79E-43C0-8E12-B0C7EFA8D833}" name="ProductID" dataDxfId="19"/>
    <tableColumn id="4" xr3:uid="{EE49C1A5-E490-4974-8B06-25724B2C08BF}" name="RegionID" dataDxfId="18"/>
    <tableColumn id="5" xr3:uid="{991F3E07-8E1D-4066-A1D1-7AF3ECDED210}" name="Quantity" dataDxfId="17"/>
    <tableColumn id="6" xr3:uid="{2E2C5267-2D08-4DFE-94BC-A4FA3BAF8C59}" name="SalesAmount" dataDxfId="16"/>
    <tableColumn id="7" xr3:uid="{12BE3719-79CC-43AB-A8B2-DCFB72373FB4}" name="Month">
      <calculatedColumnFormula>TEXT(B3,"mmm-yyy")</calculatedColumnFormula>
    </tableColumn>
    <tableColumn id="8" xr3:uid="{3139462B-A36E-4733-82D7-FD0341A697D3}" name="Month No" dataDxfId="15">
      <calculatedColumnFormula>MONTH(B3)</calculatedColumnFormula>
    </tableColumn>
    <tableColumn id="9" xr3:uid="{C4F6A05D-5143-4887-A2B4-ED0C2DEE397F}" name="weekday" dataDxfId="14">
      <calculatedColumnFormula>TEXT(B3,"dddd")</calculatedColumnFormula>
    </tableColumn>
    <tableColumn id="10" xr3:uid="{8555B9B1-F861-4AC9-B59B-137CE4F66368}" name="week No" dataDxfId="13">
      <calculatedColumnFormula>WEEKDAY(B3,2)</calculatedColumnFormula>
    </tableColumn>
    <tableColumn id="11" xr3:uid="{870BE7D9-DDFF-4DC2-8984-4360BE9098CF}" name="Product Name">
      <calculatedColumnFormula>VLOOKUP(C3,Products!$A$2:$C$7,3,FALSE)</calculatedColumnFormula>
    </tableColumn>
    <tableColumn id="12" xr3:uid="{5F17867D-EDE2-482A-B307-8241AAF37258}" name="category" dataDxfId="12">
      <calculatedColumnFormula>VLOOKUP(C3,Products!$A$2:$C$7,2,FALSE)</calculatedColumnFormula>
    </tableColumn>
    <tableColumn id="13" xr3:uid="{9C6ED961-E6F9-45E5-A2CF-4F35FEDCB6A0}" name="Region Name" dataDxfId="11">
      <calculatedColumnFormula>VLOOKUP(D3,Regions!$A$2:$B$5,2,FALSE)</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27B1B5-E452-46BD-8793-839CF1EEDFCA}" name="Table4" displayName="Table4" ref="A2:C7" totalsRowShown="0" headerRowDxfId="10" dataDxfId="9">
  <autoFilter ref="A2:C7" xr:uid="{9527B1B5-E452-46BD-8793-839CF1EEDFCA}"/>
  <tableColumns count="3">
    <tableColumn id="1" xr3:uid="{F6DCF752-88E6-444D-984D-ECBB1DDA5216}" name="ProductID" dataDxfId="8"/>
    <tableColumn id="2" xr3:uid="{C63A6995-B688-4474-8499-642321B2D723}" name="ProductName" dataDxfId="7"/>
    <tableColumn id="3" xr3:uid="{E9746246-4FC7-465C-AB92-740ED5CE4E8B}" name="Category" dataDxfId="6"/>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4B1373-CEB8-4BC7-8061-D35AA0ABCBAF}" name="Table5" displayName="Table5" ref="A2:B5" totalsRowShown="0" headerRowDxfId="5" headerRowBorderDxfId="4" tableBorderDxfId="3" totalsRowBorderDxfId="2">
  <autoFilter ref="A2:B5" xr:uid="{D84B1373-CEB8-4BC7-8061-D35AA0ABCBAF}"/>
  <tableColumns count="2">
    <tableColumn id="1" xr3:uid="{4F53FC85-9B7F-4726-A39C-E9775F62172A}" name="RegionID" dataDxfId="1"/>
    <tableColumn id="2" xr3:uid="{4912C0BD-4227-4ABF-BD18-ECA08099A3A3}" name="RegionName"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56E8C6-9915-4B17-89C1-DF851FDBEE27}">
  <we:reference id="wa200000018" version="25.2.0.0" store="en-US" storeType="OMEX"/>
  <we:alternateReferences>
    <we:reference id="WA200000018" version="25.2.0.0" store="WA200000018"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PSIVARY</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PSISIXSIGMA</we:customFunctionIds>
        <we:customFunctionIds>PSITSSYNC</we:customFunctionIds>
        <we:customFunctionIds>PSICONVERGENCE</we:customFunctionIds>
        <we:customFunctionIds>PSIISDATE</we:customFunctionIds>
        <we:customFunctionIds>PSIISDISCRETE</we:customFunctionIds>
        <we:customFunctionIds>PSILIBRARY</we:customFunctionIds>
        <we:customFunctionIds>PSIFITINFO</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PSICALCPARAM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PSIMETALOG2</we:customFunctionIds>
        <we:customFunctionIds>PSIMETALOGSPT</we:customFunctionIds>
        <we:customFunctionIds>PSIMETALOGFIT</we:customFunctionIds>
        <we:customFunctionIds>PSIMETALOG2FIT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PSILEVYALT</we:customFunctionIds>
        <we:customFunctionIds>PSIHYPSECANTALT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PSIFATIGUELIFEALT</we:customFunctionIds>
        <we:customFunctionIds>PSIFRECHETALT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PSIBOXITERATOR</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s>PSIMODELDESC</we:customFunctionIds>
        <we:customFunctionIds>PSICORRECTCORMAT</we:customFunctionIds>
        <we:customFunctionIds>PSISTATIC</we:customFunctionIds>
        <we:customFunctionIds>PSIMAKEINPUT</we:customFunctionIds>
        <we:customFunctionIds>PSISIMULATIONINFO</we:customFunctionIds>
        <we:customFunctionIds>PSICONVERGED</we:customFunctionIds>
        <we:customFunctionIds>PSIDISTINFO</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FFE6-2B4F-4236-82BF-3C07B6356753}">
  <dimension ref="A1:K9"/>
  <sheetViews>
    <sheetView workbookViewId="0">
      <selection activeCell="A5" sqref="A5"/>
    </sheetView>
  </sheetViews>
  <sheetFormatPr defaultRowHeight="14.4" x14ac:dyDescent="0.3"/>
  <cols>
    <col min="1" max="1" width="12.5546875" bestFit="1" customWidth="1"/>
    <col min="2" max="2" width="18.77734375" bestFit="1" customWidth="1"/>
  </cols>
  <sheetData>
    <row r="1" spans="1:11" ht="30" customHeight="1" x14ac:dyDescent="0.45">
      <c r="E1" s="16" t="s">
        <v>60</v>
      </c>
      <c r="F1" s="16"/>
      <c r="G1" s="16"/>
      <c r="H1" s="16"/>
      <c r="I1" s="16"/>
      <c r="J1" s="16"/>
      <c r="K1" s="16"/>
    </row>
    <row r="4" spans="1:11" x14ac:dyDescent="0.3">
      <c r="A4" s="8" t="s">
        <v>43</v>
      </c>
      <c r="B4" t="s">
        <v>49</v>
      </c>
    </row>
    <row r="5" spans="1:11" x14ac:dyDescent="0.3">
      <c r="A5" s="9" t="s">
        <v>44</v>
      </c>
      <c r="B5" s="4">
        <v>30000</v>
      </c>
    </row>
    <row r="6" spans="1:11" x14ac:dyDescent="0.3">
      <c r="A6" s="9" t="s">
        <v>45</v>
      </c>
      <c r="B6" s="4">
        <v>80000</v>
      </c>
    </row>
    <row r="7" spans="1:11" x14ac:dyDescent="0.3">
      <c r="A7" s="9" t="s">
        <v>46</v>
      </c>
      <c r="B7" s="4">
        <v>140000</v>
      </c>
    </row>
    <row r="8" spans="1:11" x14ac:dyDescent="0.3">
      <c r="A8" s="9" t="s">
        <v>47</v>
      </c>
      <c r="B8" s="4">
        <v>140000</v>
      </c>
    </row>
    <row r="9" spans="1:11" x14ac:dyDescent="0.3">
      <c r="A9" s="9" t="s">
        <v>48</v>
      </c>
      <c r="B9" s="4">
        <v>390000</v>
      </c>
    </row>
  </sheetData>
  <mergeCells count="1">
    <mergeCell ref="E1:K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349A5-1D1E-4E1E-9D49-3B6E99BD86E4}">
  <dimension ref="A1:K13"/>
  <sheetViews>
    <sheetView workbookViewId="0">
      <selection activeCell="C7" sqref="C7"/>
    </sheetView>
  </sheetViews>
  <sheetFormatPr defaultRowHeight="14.4" x14ac:dyDescent="0.3"/>
  <cols>
    <col min="1" max="1" width="12.6640625" bestFit="1" customWidth="1"/>
    <col min="2" max="2" width="18.77734375" bestFit="1" customWidth="1"/>
  </cols>
  <sheetData>
    <row r="1" spans="1:11" ht="30" customHeight="1" x14ac:dyDescent="0.45">
      <c r="F1" s="16" t="s">
        <v>56</v>
      </c>
      <c r="G1" s="16"/>
      <c r="H1" s="16"/>
      <c r="I1" s="16"/>
      <c r="J1" s="16"/>
      <c r="K1" s="16"/>
    </row>
    <row r="2" spans="1:11" x14ac:dyDescent="0.3">
      <c r="A2" s="8" t="s">
        <v>36</v>
      </c>
      <c r="B2" t="s">
        <v>55</v>
      </c>
    </row>
    <row r="3" spans="1:11" x14ac:dyDescent="0.3">
      <c r="A3" s="8" t="s">
        <v>41</v>
      </c>
      <c r="B3" t="s">
        <v>55</v>
      </c>
    </row>
    <row r="4" spans="1:11" x14ac:dyDescent="0.3">
      <c r="A4" s="8" t="s">
        <v>42</v>
      </c>
      <c r="B4" t="s">
        <v>55</v>
      </c>
    </row>
    <row r="5" spans="1:11" x14ac:dyDescent="0.3">
      <c r="A5" s="8" t="s">
        <v>40</v>
      </c>
      <c r="B5" t="s">
        <v>55</v>
      </c>
    </row>
    <row r="7" spans="1:11" x14ac:dyDescent="0.3">
      <c r="A7" s="8" t="s">
        <v>43</v>
      </c>
      <c r="B7" t="s">
        <v>49</v>
      </c>
    </row>
    <row r="8" spans="1:11" x14ac:dyDescent="0.3">
      <c r="A8" s="9" t="s">
        <v>50</v>
      </c>
      <c r="B8" s="4">
        <v>55000</v>
      </c>
    </row>
    <row r="9" spans="1:11" x14ac:dyDescent="0.3">
      <c r="A9" s="9" t="s">
        <v>51</v>
      </c>
      <c r="B9" s="4">
        <v>100000</v>
      </c>
    </row>
    <row r="10" spans="1:11" x14ac:dyDescent="0.3">
      <c r="A10" s="9" t="s">
        <v>52</v>
      </c>
      <c r="B10" s="4">
        <v>90000</v>
      </c>
    </row>
    <row r="11" spans="1:11" x14ac:dyDescent="0.3">
      <c r="A11" s="9" t="s">
        <v>53</v>
      </c>
      <c r="B11" s="4">
        <v>125000</v>
      </c>
    </row>
    <row r="12" spans="1:11" x14ac:dyDescent="0.3">
      <c r="A12" s="9" t="s">
        <v>54</v>
      </c>
      <c r="B12" s="4">
        <v>20000</v>
      </c>
    </row>
    <row r="13" spans="1:11" x14ac:dyDescent="0.3">
      <c r="A13" s="9" t="s">
        <v>48</v>
      </c>
      <c r="B13" s="4">
        <v>390000</v>
      </c>
    </row>
  </sheetData>
  <mergeCells count="1">
    <mergeCell ref="F1:K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B052-9712-4997-9517-92B399D347E5}">
  <dimension ref="A1:K9"/>
  <sheetViews>
    <sheetView workbookViewId="0">
      <selection activeCell="F1" sqref="F1:K1"/>
    </sheetView>
  </sheetViews>
  <sheetFormatPr defaultRowHeight="14.4" x14ac:dyDescent="0.3"/>
  <cols>
    <col min="1" max="1" width="15.109375" bestFit="1" customWidth="1"/>
    <col min="2" max="2" width="18.77734375" bestFit="1" customWidth="1"/>
  </cols>
  <sheetData>
    <row r="1" spans="1:11" ht="30" customHeight="1" x14ac:dyDescent="0.45">
      <c r="F1" s="16" t="s">
        <v>57</v>
      </c>
      <c r="G1" s="16"/>
      <c r="H1" s="16"/>
      <c r="I1" s="16"/>
      <c r="J1" s="16"/>
      <c r="K1" s="16"/>
    </row>
    <row r="2" spans="1:11" x14ac:dyDescent="0.3">
      <c r="A2" s="8" t="s">
        <v>36</v>
      </c>
      <c r="B2" t="s">
        <v>55</v>
      </c>
    </row>
    <row r="3" spans="1:11" x14ac:dyDescent="0.3">
      <c r="A3" s="8" t="s">
        <v>41</v>
      </c>
      <c r="B3" t="s">
        <v>55</v>
      </c>
    </row>
    <row r="4" spans="1:11" x14ac:dyDescent="0.3">
      <c r="A4" s="8" t="s">
        <v>42</v>
      </c>
      <c r="B4" t="s">
        <v>55</v>
      </c>
    </row>
    <row r="6" spans="1:11" x14ac:dyDescent="0.3">
      <c r="A6" s="8" t="s">
        <v>43</v>
      </c>
      <c r="B6" t="s">
        <v>49</v>
      </c>
    </row>
    <row r="7" spans="1:11" x14ac:dyDescent="0.3">
      <c r="A7" s="9" t="s">
        <v>16</v>
      </c>
      <c r="B7" s="4">
        <v>375000</v>
      </c>
    </row>
    <row r="8" spans="1:11" x14ac:dyDescent="0.3">
      <c r="A8" s="9" t="s">
        <v>35</v>
      </c>
      <c r="B8" s="4">
        <v>15000</v>
      </c>
    </row>
    <row r="9" spans="1:11" x14ac:dyDescent="0.3">
      <c r="A9" s="9" t="s">
        <v>48</v>
      </c>
      <c r="B9" s="4">
        <v>390000</v>
      </c>
    </row>
  </sheetData>
  <mergeCells count="1">
    <mergeCell ref="F1:K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638B-8D52-4F34-865E-B37F5F17F19B}">
  <dimension ref="A1:L12"/>
  <sheetViews>
    <sheetView workbookViewId="0">
      <selection activeCell="G1" sqref="G1:L1"/>
    </sheetView>
  </sheetViews>
  <sheetFormatPr defaultRowHeight="14.4" x14ac:dyDescent="0.3"/>
  <cols>
    <col min="1" max="1" width="15.44140625" bestFit="1" customWidth="1"/>
    <col min="2" max="2" width="18.77734375" bestFit="1" customWidth="1"/>
  </cols>
  <sheetData>
    <row r="1" spans="1:12" ht="30" customHeight="1" x14ac:dyDescent="0.45">
      <c r="G1" s="16" t="s">
        <v>58</v>
      </c>
      <c r="H1" s="16"/>
      <c r="I1" s="16"/>
      <c r="J1" s="16"/>
      <c r="K1" s="16"/>
      <c r="L1" s="16"/>
    </row>
    <row r="2" spans="1:12" x14ac:dyDescent="0.3">
      <c r="A2" s="8" t="s">
        <v>36</v>
      </c>
      <c r="B2" t="s">
        <v>55</v>
      </c>
    </row>
    <row r="3" spans="1:12" x14ac:dyDescent="0.3">
      <c r="A3" s="8" t="s">
        <v>40</v>
      </c>
      <c r="B3" t="s">
        <v>55</v>
      </c>
    </row>
    <row r="4" spans="1:12" x14ac:dyDescent="0.3">
      <c r="A4" s="8" t="s">
        <v>42</v>
      </c>
      <c r="B4" t="s">
        <v>55</v>
      </c>
    </row>
    <row r="6" spans="1:12" x14ac:dyDescent="0.3">
      <c r="A6" s="8" t="s">
        <v>43</v>
      </c>
      <c r="B6" t="s">
        <v>49</v>
      </c>
    </row>
    <row r="7" spans="1:12" x14ac:dyDescent="0.3">
      <c r="A7" s="9" t="s">
        <v>30</v>
      </c>
      <c r="B7" s="4">
        <v>60000</v>
      </c>
    </row>
    <row r="8" spans="1:12" x14ac:dyDescent="0.3">
      <c r="A8" s="9" t="s">
        <v>34</v>
      </c>
      <c r="B8" s="4">
        <v>15000</v>
      </c>
    </row>
    <row r="9" spans="1:12" x14ac:dyDescent="0.3">
      <c r="A9" s="9" t="s">
        <v>33</v>
      </c>
      <c r="B9" s="4">
        <v>90000</v>
      </c>
    </row>
    <row r="10" spans="1:12" x14ac:dyDescent="0.3">
      <c r="A10" s="9" t="s">
        <v>31</v>
      </c>
      <c r="B10" s="4">
        <v>100000</v>
      </c>
    </row>
    <row r="11" spans="1:12" x14ac:dyDescent="0.3">
      <c r="A11" s="9" t="s">
        <v>32</v>
      </c>
      <c r="B11" s="4">
        <v>125000</v>
      </c>
    </row>
    <row r="12" spans="1:12" x14ac:dyDescent="0.3">
      <c r="A12" s="9" t="s">
        <v>48</v>
      </c>
      <c r="B12" s="4">
        <v>390000</v>
      </c>
    </row>
  </sheetData>
  <mergeCells count="1">
    <mergeCell ref="G1:L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C3102-D5DC-4490-94E3-C4807594C24C}">
  <dimension ref="A1:L10"/>
  <sheetViews>
    <sheetView workbookViewId="0">
      <selection activeCell="G1" sqref="G1:L1"/>
    </sheetView>
  </sheetViews>
  <sheetFormatPr defaultRowHeight="14.4" x14ac:dyDescent="0.3"/>
  <cols>
    <col min="1" max="1" width="12.6640625" bestFit="1" customWidth="1"/>
    <col min="2" max="2" width="18.77734375" bestFit="1" customWidth="1"/>
  </cols>
  <sheetData>
    <row r="1" spans="1:12" ht="30" customHeight="1" x14ac:dyDescent="0.45">
      <c r="G1" s="16" t="s">
        <v>59</v>
      </c>
      <c r="H1" s="16"/>
      <c r="I1" s="16"/>
      <c r="J1" s="16"/>
      <c r="K1" s="16"/>
      <c r="L1" s="16"/>
    </row>
    <row r="2" spans="1:12" x14ac:dyDescent="0.3">
      <c r="A2" s="8" t="s">
        <v>36</v>
      </c>
      <c r="B2" t="s">
        <v>55</v>
      </c>
    </row>
    <row r="3" spans="1:12" x14ac:dyDescent="0.3">
      <c r="A3" s="8" t="s">
        <v>41</v>
      </c>
      <c r="B3" t="s">
        <v>55</v>
      </c>
    </row>
    <row r="4" spans="1:12" x14ac:dyDescent="0.3">
      <c r="A4" s="8" t="s">
        <v>40</v>
      </c>
      <c r="B4" t="s">
        <v>55</v>
      </c>
    </row>
    <row r="6" spans="1:12" x14ac:dyDescent="0.3">
      <c r="A6" s="8" t="s">
        <v>43</v>
      </c>
      <c r="B6" t="s">
        <v>49</v>
      </c>
    </row>
    <row r="7" spans="1:12" x14ac:dyDescent="0.3">
      <c r="A7" s="9" t="s">
        <v>18</v>
      </c>
      <c r="B7" s="4">
        <v>160000</v>
      </c>
    </row>
    <row r="8" spans="1:12" x14ac:dyDescent="0.3">
      <c r="A8" s="9" t="s">
        <v>19</v>
      </c>
      <c r="B8" s="4">
        <v>160000</v>
      </c>
    </row>
    <row r="9" spans="1:12" x14ac:dyDescent="0.3">
      <c r="A9" s="9" t="s">
        <v>20</v>
      </c>
      <c r="B9" s="4">
        <v>70000</v>
      </c>
    </row>
    <row r="10" spans="1:12" x14ac:dyDescent="0.3">
      <c r="A10" s="9" t="s">
        <v>48</v>
      </c>
      <c r="B10" s="4">
        <v>390000</v>
      </c>
    </row>
  </sheetData>
  <mergeCells count="1">
    <mergeCell ref="G1:L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B298-564F-4429-9FA0-D4FABD8DA12D}">
  <dimension ref="A2:M11"/>
  <sheetViews>
    <sheetView tabSelected="1" workbookViewId="0">
      <selection activeCell="I24" sqref="I24"/>
    </sheetView>
  </sheetViews>
  <sheetFormatPr defaultRowHeight="14.4" x14ac:dyDescent="0.3"/>
  <cols>
    <col min="1" max="1" width="9.44140625" customWidth="1"/>
    <col min="2" max="2" width="11.5546875" customWidth="1"/>
    <col min="3" max="3" width="11.77734375" customWidth="1"/>
    <col min="4" max="4" width="10.44140625" customWidth="1"/>
    <col min="5" max="5" width="10.21875" customWidth="1"/>
    <col min="6" max="6" width="14" customWidth="1"/>
    <col min="8" max="8" width="13.21875" customWidth="1"/>
    <col min="9" max="9" width="14" customWidth="1"/>
    <col min="10" max="10" width="13.5546875" customWidth="1"/>
    <col min="11" max="11" width="15.109375" bestFit="1" customWidth="1"/>
    <col min="12" max="12" width="13.21875" customWidth="1"/>
    <col min="13" max="13" width="14.109375" customWidth="1"/>
  </cols>
  <sheetData>
    <row r="2" spans="1:13" ht="19.95" customHeight="1" x14ac:dyDescent="0.3">
      <c r="A2" s="1" t="s">
        <v>0</v>
      </c>
      <c r="B2" s="1" t="s">
        <v>1</v>
      </c>
      <c r="C2" s="1" t="s">
        <v>2</v>
      </c>
      <c r="D2" s="1" t="s">
        <v>3</v>
      </c>
      <c r="E2" s="1" t="s">
        <v>4</v>
      </c>
      <c r="F2" s="1" t="s">
        <v>5</v>
      </c>
      <c r="G2" s="1" t="s">
        <v>36</v>
      </c>
      <c r="H2" s="6" t="s">
        <v>37</v>
      </c>
      <c r="I2" s="6" t="s">
        <v>38</v>
      </c>
      <c r="J2" s="6" t="s">
        <v>39</v>
      </c>
      <c r="K2" s="6" t="s">
        <v>40</v>
      </c>
      <c r="L2" s="6" t="s">
        <v>41</v>
      </c>
      <c r="M2" s="6" t="s">
        <v>42</v>
      </c>
    </row>
    <row r="3" spans="1:13" ht="15" customHeight="1" x14ac:dyDescent="0.3">
      <c r="A3" s="2" t="s">
        <v>21</v>
      </c>
      <c r="B3" s="3">
        <v>45662</v>
      </c>
      <c r="C3" s="2" t="s">
        <v>6</v>
      </c>
      <c r="D3" s="2" t="s">
        <v>7</v>
      </c>
      <c r="E3" s="2">
        <v>2</v>
      </c>
      <c r="F3" s="5">
        <v>40000</v>
      </c>
      <c r="G3" t="str">
        <f>TEXT(B3,"mmm-yyy")</f>
        <v>Jan-2025</v>
      </c>
      <c r="H3" s="7">
        <f>MONTH(B3)</f>
        <v>1</v>
      </c>
      <c r="I3" s="7" t="str">
        <f>TEXT(B3,"dddd")</f>
        <v>Sunday</v>
      </c>
      <c r="J3" s="7">
        <f>WEEKDAY(B3,2)</f>
        <v>7</v>
      </c>
      <c r="K3" t="str">
        <f>VLOOKUP(C3,Products!$A$2:$C$7,3,FALSE)</f>
        <v>Electronics</v>
      </c>
      <c r="L3" s="7" t="str">
        <f>VLOOKUP(C3,Products!$A$2:$C$7,2,FALSE)</f>
        <v>Microwave</v>
      </c>
      <c r="M3" s="7" t="str">
        <f>VLOOKUP(D3,Regions!$A$2:$B$5,2,FALSE)</f>
        <v>North</v>
      </c>
    </row>
    <row r="4" spans="1:13" ht="15" customHeight="1" x14ac:dyDescent="0.3">
      <c r="A4" s="2" t="s">
        <v>22</v>
      </c>
      <c r="B4" s="3">
        <v>45663</v>
      </c>
      <c r="C4" s="2" t="s">
        <v>8</v>
      </c>
      <c r="D4" s="2" t="s">
        <v>9</v>
      </c>
      <c r="E4" s="2">
        <v>1</v>
      </c>
      <c r="F4" s="5">
        <v>25000</v>
      </c>
      <c r="G4" t="str">
        <f t="shared" ref="G4:G11" si="0">TEXT(B4,"mmm-yyy")</f>
        <v>Jan-2025</v>
      </c>
      <c r="H4" s="7">
        <f t="shared" ref="H4:H11" si="1">MONTH(B4)</f>
        <v>1</v>
      </c>
      <c r="I4" s="7" t="str">
        <f t="shared" ref="I4:I11" si="2">TEXT(B4,"dddd")</f>
        <v>Monday</v>
      </c>
      <c r="J4" s="7">
        <f t="shared" ref="J4:J11" si="3">WEEKDAY(B4,2)</f>
        <v>1</v>
      </c>
      <c r="K4" t="str">
        <f>VLOOKUP(C4,Products!$A$2:$C$7,3,FALSE)</f>
        <v>Electronics</v>
      </c>
      <c r="L4" s="7" t="str">
        <f>VLOOKUP(C4,Products!$A$2:$C$7,2,FALSE)</f>
        <v>Refrigerator</v>
      </c>
      <c r="M4" s="7" t="str">
        <f>VLOOKUP(D4,Regions!$A$2:$B$5,2,FALSE)</f>
        <v>South</v>
      </c>
    </row>
    <row r="5" spans="1:13" ht="15" customHeight="1" x14ac:dyDescent="0.3">
      <c r="A5" s="2" t="s">
        <v>23</v>
      </c>
      <c r="B5" s="3">
        <v>45665</v>
      </c>
      <c r="C5" s="2" t="s">
        <v>10</v>
      </c>
      <c r="D5" s="2" t="s">
        <v>7</v>
      </c>
      <c r="E5" s="2">
        <v>3</v>
      </c>
      <c r="F5" s="5">
        <v>75000</v>
      </c>
      <c r="G5" t="str">
        <f t="shared" si="0"/>
        <v>Jan-2025</v>
      </c>
      <c r="H5" s="7">
        <f t="shared" si="1"/>
        <v>1</v>
      </c>
      <c r="I5" s="7" t="str">
        <f t="shared" si="2"/>
        <v>Wednesday</v>
      </c>
      <c r="J5" s="7">
        <f t="shared" si="3"/>
        <v>3</v>
      </c>
      <c r="K5" t="str">
        <f>VLOOKUP(C5,Products!$A$2:$C$7,3,FALSE)</f>
        <v>Electronics</v>
      </c>
      <c r="L5" s="7" t="str">
        <f>VLOOKUP(C5,Products!$A$2:$C$7,2,FALSE)</f>
        <v>Washing Machine</v>
      </c>
      <c r="M5" s="7" t="str">
        <f>VLOOKUP(D5,Regions!$A$2:$B$5,2,FALSE)</f>
        <v>North</v>
      </c>
    </row>
    <row r="6" spans="1:13" ht="15" customHeight="1" x14ac:dyDescent="0.3">
      <c r="A6" s="2" t="s">
        <v>24</v>
      </c>
      <c r="B6" s="3">
        <v>45703</v>
      </c>
      <c r="C6" s="2" t="s">
        <v>6</v>
      </c>
      <c r="D6" s="2" t="s">
        <v>11</v>
      </c>
      <c r="E6" s="2">
        <v>1</v>
      </c>
      <c r="F6" s="5">
        <v>20000</v>
      </c>
      <c r="G6" t="str">
        <f t="shared" si="0"/>
        <v>Feb-2025</v>
      </c>
      <c r="H6" s="7">
        <f t="shared" si="1"/>
        <v>2</v>
      </c>
      <c r="I6" s="7" t="str">
        <f t="shared" si="2"/>
        <v>Saturday</v>
      </c>
      <c r="J6" s="7">
        <f t="shared" si="3"/>
        <v>6</v>
      </c>
      <c r="K6" t="str">
        <f>VLOOKUP(C6,Products!$A$2:$C$7,3,FALSE)</f>
        <v>Electronics</v>
      </c>
      <c r="L6" s="7" t="str">
        <f>VLOOKUP(C6,Products!$A$2:$C$7,2,FALSE)</f>
        <v>Microwave</v>
      </c>
      <c r="M6" s="7" t="str">
        <f>VLOOKUP(D6,Regions!$A$2:$B$5,2,FALSE)</f>
        <v>West</v>
      </c>
    </row>
    <row r="7" spans="1:13" ht="15" customHeight="1" x14ac:dyDescent="0.3">
      <c r="A7" s="2" t="s">
        <v>25</v>
      </c>
      <c r="B7" s="3">
        <v>45706</v>
      </c>
      <c r="C7" s="2" t="s">
        <v>12</v>
      </c>
      <c r="D7" s="2" t="s">
        <v>9</v>
      </c>
      <c r="E7" s="2">
        <v>2</v>
      </c>
      <c r="F7" s="5">
        <v>60000</v>
      </c>
      <c r="G7" t="str">
        <f t="shared" si="0"/>
        <v>Feb-2025</v>
      </c>
      <c r="H7" s="7">
        <f t="shared" si="1"/>
        <v>2</v>
      </c>
      <c r="I7" s="7" t="str">
        <f t="shared" si="2"/>
        <v>Tuesday</v>
      </c>
      <c r="J7" s="7">
        <f t="shared" si="3"/>
        <v>2</v>
      </c>
      <c r="K7" t="str">
        <f>VLOOKUP(C7,Products!$A$2:$C$7,3,FALSE)</f>
        <v>Electronics</v>
      </c>
      <c r="L7" s="7" t="str">
        <f>VLOOKUP(C7,Products!$A$2:$C$7,2,FALSE)</f>
        <v>Oven</v>
      </c>
      <c r="M7" s="7" t="str">
        <f>VLOOKUP(D7,Regions!$A$2:$B$5,2,FALSE)</f>
        <v>South</v>
      </c>
    </row>
    <row r="8" spans="1:13" ht="15" customHeight="1" x14ac:dyDescent="0.3">
      <c r="A8" s="2" t="s">
        <v>26</v>
      </c>
      <c r="B8" s="3">
        <v>45718</v>
      </c>
      <c r="C8" s="2" t="s">
        <v>13</v>
      </c>
      <c r="D8" s="2" t="s">
        <v>7</v>
      </c>
      <c r="E8" s="2">
        <v>1</v>
      </c>
      <c r="F8" s="5">
        <v>15000</v>
      </c>
      <c r="G8" t="str">
        <f t="shared" si="0"/>
        <v>Mar-2025</v>
      </c>
      <c r="H8" s="7">
        <f t="shared" si="1"/>
        <v>3</v>
      </c>
      <c r="I8" s="7" t="str">
        <f t="shared" si="2"/>
        <v>Sunday</v>
      </c>
      <c r="J8" s="7">
        <f t="shared" si="3"/>
        <v>7</v>
      </c>
      <c r="K8" t="str">
        <f>VLOOKUP(C8,Products!$A$2:$C$7,3,FALSE)</f>
        <v>Home Appliances</v>
      </c>
      <c r="L8" s="7" t="str">
        <f>VLOOKUP(C8,Products!$A$2:$C$7,2,FALSE)</f>
        <v>Mixer</v>
      </c>
      <c r="M8" s="7" t="str">
        <f>VLOOKUP(D8,Regions!$A$2:$B$5,2,FALSE)</f>
        <v>North</v>
      </c>
    </row>
    <row r="9" spans="1:13" ht="15" customHeight="1" x14ac:dyDescent="0.3">
      <c r="A9" s="2" t="s">
        <v>27</v>
      </c>
      <c r="B9" s="3">
        <v>45721</v>
      </c>
      <c r="C9" s="2" t="s">
        <v>10</v>
      </c>
      <c r="D9" s="2" t="s">
        <v>11</v>
      </c>
      <c r="E9" s="2">
        <v>2</v>
      </c>
      <c r="F9" s="5">
        <v>50000</v>
      </c>
      <c r="G9" t="str">
        <f t="shared" si="0"/>
        <v>Mar-2025</v>
      </c>
      <c r="H9" s="7">
        <f t="shared" si="1"/>
        <v>3</v>
      </c>
      <c r="I9" s="7" t="str">
        <f t="shared" si="2"/>
        <v>Wednesday</v>
      </c>
      <c r="J9" s="7">
        <f t="shared" si="3"/>
        <v>3</v>
      </c>
      <c r="K9" t="str">
        <f>VLOOKUP(C9,Products!$A$2:$C$7,3,FALSE)</f>
        <v>Electronics</v>
      </c>
      <c r="L9" s="7" t="str">
        <f>VLOOKUP(C9,Products!$A$2:$C$7,2,FALSE)</f>
        <v>Washing Machine</v>
      </c>
      <c r="M9" s="7" t="str">
        <f>VLOOKUP(D9,Regions!$A$2:$B$5,2,FALSE)</f>
        <v>West</v>
      </c>
    </row>
    <row r="10" spans="1:13" ht="15" customHeight="1" x14ac:dyDescent="0.3">
      <c r="A10" s="2" t="s">
        <v>28</v>
      </c>
      <c r="B10" s="3">
        <v>45726</v>
      </c>
      <c r="C10" s="2" t="s">
        <v>8</v>
      </c>
      <c r="D10" s="2" t="s">
        <v>9</v>
      </c>
      <c r="E10" s="2">
        <v>3</v>
      </c>
      <c r="F10" s="5">
        <v>75000</v>
      </c>
      <c r="G10" t="str">
        <f t="shared" si="0"/>
        <v>Mar-2025</v>
      </c>
      <c r="H10" s="7">
        <f t="shared" si="1"/>
        <v>3</v>
      </c>
      <c r="I10" s="7" t="str">
        <f t="shared" si="2"/>
        <v>Monday</v>
      </c>
      <c r="J10" s="7">
        <f t="shared" si="3"/>
        <v>1</v>
      </c>
      <c r="K10" t="str">
        <f>VLOOKUP(C10,Products!$A$2:$C$7,3,FALSE)</f>
        <v>Electronics</v>
      </c>
      <c r="L10" s="7" t="str">
        <f>VLOOKUP(C10,Products!$A$2:$C$7,2,FALSE)</f>
        <v>Refrigerator</v>
      </c>
      <c r="M10" s="7" t="str">
        <f>VLOOKUP(D10,Regions!$A$2:$B$5,2,FALSE)</f>
        <v>South</v>
      </c>
    </row>
    <row r="11" spans="1:13" ht="15" customHeight="1" x14ac:dyDescent="0.3">
      <c r="A11" s="2" t="s">
        <v>29</v>
      </c>
      <c r="B11" s="3">
        <v>45762</v>
      </c>
      <c r="C11" s="2" t="s">
        <v>12</v>
      </c>
      <c r="D11" s="2" t="s">
        <v>7</v>
      </c>
      <c r="E11" s="2">
        <v>1</v>
      </c>
      <c r="F11" s="5">
        <v>30000</v>
      </c>
      <c r="G11" t="str">
        <f t="shared" si="0"/>
        <v>Apr-2025</v>
      </c>
      <c r="H11" s="7">
        <f t="shared" si="1"/>
        <v>4</v>
      </c>
      <c r="I11" s="7" t="str">
        <f t="shared" si="2"/>
        <v>Tuesday</v>
      </c>
      <c r="J11" s="7">
        <f t="shared" si="3"/>
        <v>2</v>
      </c>
      <c r="K11" t="str">
        <f>VLOOKUP(C11,Products!$A$2:$C$7,3,FALSE)</f>
        <v>Electronics</v>
      </c>
      <c r="L11" s="7" t="str">
        <f>VLOOKUP(C11,Products!$A$2:$C$7,2,FALSE)</f>
        <v>Oven</v>
      </c>
      <c r="M11" s="7" t="str">
        <f>VLOOKUP(D11,Regions!$A$2:$B$5,2,FALSE)</f>
        <v>North</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BC8D1-F443-4980-A6AC-F571870401C5}">
  <dimension ref="A1:D8"/>
  <sheetViews>
    <sheetView workbookViewId="0">
      <selection activeCell="C9" sqref="C9"/>
    </sheetView>
  </sheetViews>
  <sheetFormatPr defaultRowHeight="14.4" x14ac:dyDescent="0.3"/>
  <cols>
    <col min="1" max="2" width="16.33203125" customWidth="1"/>
    <col min="3" max="3" width="17.33203125" customWidth="1"/>
  </cols>
  <sheetData>
    <row r="1" spans="1:4" x14ac:dyDescent="0.3">
      <c r="A1" s="17"/>
      <c r="B1" s="17"/>
      <c r="C1" s="17"/>
    </row>
    <row r="2" spans="1:4" ht="19.95" customHeight="1" x14ac:dyDescent="0.3">
      <c r="A2" s="1" t="s">
        <v>2</v>
      </c>
      <c r="B2" s="1" t="s">
        <v>14</v>
      </c>
      <c r="C2" s="1" t="s">
        <v>15</v>
      </c>
      <c r="D2" s="1"/>
    </row>
    <row r="3" spans="1:4" ht="15" customHeight="1" x14ac:dyDescent="0.3">
      <c r="A3" s="2" t="s">
        <v>6</v>
      </c>
      <c r="B3" s="2" t="s">
        <v>30</v>
      </c>
      <c r="C3" s="2" t="s">
        <v>16</v>
      </c>
    </row>
    <row r="4" spans="1:4" ht="15" customHeight="1" x14ac:dyDescent="0.3">
      <c r="A4" s="2" t="s">
        <v>8</v>
      </c>
      <c r="B4" s="2" t="s">
        <v>31</v>
      </c>
      <c r="C4" s="2" t="s">
        <v>16</v>
      </c>
    </row>
    <row r="5" spans="1:4" ht="15" customHeight="1" x14ac:dyDescent="0.3">
      <c r="A5" s="2" t="s">
        <v>10</v>
      </c>
      <c r="B5" s="2" t="s">
        <v>32</v>
      </c>
      <c r="C5" s="2" t="s">
        <v>16</v>
      </c>
    </row>
    <row r="6" spans="1:4" ht="15" customHeight="1" x14ac:dyDescent="0.3">
      <c r="A6" s="2" t="s">
        <v>12</v>
      </c>
      <c r="B6" s="2" t="s">
        <v>33</v>
      </c>
      <c r="C6" s="2" t="s">
        <v>16</v>
      </c>
    </row>
    <row r="7" spans="1:4" ht="15" customHeight="1" x14ac:dyDescent="0.3">
      <c r="A7" s="2" t="s">
        <v>13</v>
      </c>
      <c r="B7" s="2" t="s">
        <v>34</v>
      </c>
      <c r="C7" s="2" t="s">
        <v>35</v>
      </c>
    </row>
    <row r="8" spans="1:4" x14ac:dyDescent="0.3">
      <c r="A8" s="2"/>
      <c r="B8" s="2"/>
      <c r="C8" s="2"/>
    </row>
  </sheetData>
  <mergeCells count="1">
    <mergeCell ref="A1:C1"/>
  </mergeCells>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F83D2-BAEA-46C9-A37F-8F8AA1251B1C}">
  <dimension ref="A1:B5"/>
  <sheetViews>
    <sheetView workbookViewId="0">
      <selection activeCell="D16" sqref="D16"/>
    </sheetView>
  </sheetViews>
  <sheetFormatPr defaultRowHeight="14.4" x14ac:dyDescent="0.3"/>
  <cols>
    <col min="1" max="1" width="11.109375" customWidth="1"/>
    <col min="2" max="2" width="15.33203125" customWidth="1"/>
  </cols>
  <sheetData>
    <row r="1" spans="1:2" x14ac:dyDescent="0.3">
      <c r="A1" s="18"/>
      <c r="B1" s="19"/>
    </row>
    <row r="2" spans="1:2" x14ac:dyDescent="0.3">
      <c r="A2" s="12" t="s">
        <v>3</v>
      </c>
      <c r="B2" s="13" t="s">
        <v>17</v>
      </c>
    </row>
    <row r="3" spans="1:2" x14ac:dyDescent="0.3">
      <c r="A3" s="10" t="s">
        <v>7</v>
      </c>
      <c r="B3" s="11" t="s">
        <v>18</v>
      </c>
    </row>
    <row r="4" spans="1:2" x14ac:dyDescent="0.3">
      <c r="A4" s="10" t="s">
        <v>9</v>
      </c>
      <c r="B4" s="11" t="s">
        <v>19</v>
      </c>
    </row>
    <row r="5" spans="1:2" x14ac:dyDescent="0.3">
      <c r="A5" s="14" t="s">
        <v>11</v>
      </c>
      <c r="B5" s="15" t="s">
        <v>20</v>
      </c>
    </row>
  </sheetData>
  <mergeCells count="1">
    <mergeCell ref="A1:B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1</vt:lpstr>
      <vt:lpstr>Pivot 2</vt:lpstr>
      <vt:lpstr>pivot 3</vt:lpstr>
      <vt:lpstr>Pivot 4</vt:lpstr>
      <vt:lpstr>Pivot 5</vt:lpstr>
      <vt:lpstr>Sales</vt:lpstr>
      <vt:lpstr>Products</vt:lpstr>
      <vt:lpstr>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jehna nazeer</dc:creator>
  <cp:lastModifiedBy>jehna nazeer</cp:lastModifiedBy>
  <dcterms:created xsi:type="dcterms:W3CDTF">2026-02-07T10:57:01Z</dcterms:created>
  <dcterms:modified xsi:type="dcterms:W3CDTF">2026-02-08T18:07:09Z</dcterms:modified>
</cp:coreProperties>
</file>